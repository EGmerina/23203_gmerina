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<sst xmlns="http://schemas.openxmlformats.org/spreadsheetml/2006/main" count="12" uniqueCount="10">
  <si>
    <t>time : 90.9595
time : 44.9744 proc : 2
time : 22.9677 proc : 4
time : 11.9489 proc : 8
time : 16.4229 proc : 16
time : 6.78561 proc : 24</t>
  </si>
  <si>
    <t>количетсво ядер</t>
  </si>
  <si>
    <t>последовательная программа, сек.</t>
  </si>
  <si>
    <t>параллельная программа, сек.</t>
  </si>
  <si>
    <t>ускорение</t>
  </si>
  <si>
    <t>последовательная программа</t>
  </si>
  <si>
    <t>параллельная программа</t>
  </si>
  <si>
    <t>эфф</t>
  </si>
  <si>
    <t>последовательная программа, %</t>
  </si>
  <si>
    <t>параллельная программа,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</si>
</sst>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Лист1-style">
      <tableStyleElement dxfId="1" type="headerRow"/>
      <tableStyleElement dxfId="2" type="firstRowStripe"/>
      <tableStyleElement dxfId="3" type="secondRowStripe"/>
    </tableStyle>
    <tableStyle count="3" pivot="0" name="Лист1-style 2">
      <tableStyleElement dxfId="1" type="headerRow"/>
      <tableStyleElement dxfId="2" type="firstRowStripe"/>
      <tableStyleElement dxfId="3" type="secondRowStripe"/>
    </tableStyle>
    <tableStyle count="3" pivot="0" name="Лист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График зависимости времени работы программ от количества ядер процессора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'Лист1'!$A$14:$A$18</c:f>
            </c:strRef>
          </c:cat>
          <c:val>
            <c:numRef>
              <c:f>'Лист1'!$B$14:$B$18</c:f>
              <c:numCache/>
            </c:numRef>
          </c:val>
          <c:smooth val="0"/>
        </c:ser>
        <c:ser>
          <c:idx val="1"/>
          <c:order val="1"/>
          <c:tx>
            <c:strRef>
              <c:f>'Лист1'!$C$13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'Лист1'!$A$14:$A$18</c:f>
            </c:strRef>
          </c:cat>
          <c:val>
            <c:numRef>
              <c:f>'Лист1'!$C$14:$C$18</c:f>
              <c:numCache/>
            </c:numRef>
          </c:val>
          <c:smooth val="0"/>
        </c:ser>
        <c:axId val="241368207"/>
        <c:axId val="349250810"/>
      </c:lineChart>
      <c:catAx>
        <c:axId val="241368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количетсво ядер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250810"/>
      </c:catAx>
      <c:valAx>
        <c:axId val="349250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сек.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368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График зависимости ускорения программ от количества ядер процессора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'Лист1'!$B$22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'Лист1'!$A$23:$A$27</c:f>
            </c:strRef>
          </c:cat>
          <c:val>
            <c:numRef>
              <c:f>'Лист1'!$B$23:$B$27</c:f>
              <c:numCache/>
            </c:numRef>
          </c:val>
          <c:smooth val="0"/>
        </c:ser>
        <c:ser>
          <c:idx val="1"/>
          <c:order val="1"/>
          <c:tx>
            <c:strRef>
              <c:f>'Лист1'!$C$22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'Лист1'!$A$23:$A$27</c:f>
            </c:strRef>
          </c:cat>
          <c:val>
            <c:numRef>
              <c:f>'Лист1'!$C$23:$C$27</c:f>
              <c:numCache/>
            </c:numRef>
          </c:val>
          <c:smooth val="0"/>
        </c:ser>
        <c:axId val="1208265067"/>
        <c:axId val="414585279"/>
      </c:lineChart>
      <c:catAx>
        <c:axId val="1208265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количетсво ядер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585279"/>
      </c:catAx>
      <c:valAx>
        <c:axId val="414585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265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График зависимости эффективности программ от количества ядер процессора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'Лист1'!$B$30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'Лист1'!$A$31:$A$35</c:f>
            </c:strRef>
          </c:cat>
          <c:val>
            <c:numRef>
              <c:f>'Лист1'!$B$31:$B$35</c:f>
              <c:numCache/>
            </c:numRef>
          </c:val>
          <c:smooth val="0"/>
        </c:ser>
        <c:ser>
          <c:idx val="1"/>
          <c:order val="1"/>
          <c:tx>
            <c:strRef>
              <c:f>'Лист1'!$C$30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'Лист1'!$A$31:$A$35</c:f>
            </c:strRef>
          </c:cat>
          <c:val>
            <c:numRef>
              <c:f>'Лист1'!$C$31:$C$35</c:f>
              <c:numCache/>
            </c:numRef>
          </c:val>
          <c:smooth val="0"/>
        </c:ser>
        <c:axId val="198570636"/>
        <c:axId val="1952949875"/>
      </c:lineChart>
      <c:catAx>
        <c:axId val="198570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количетсво ядер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949875"/>
      </c:catAx>
      <c:valAx>
        <c:axId val="1952949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эффективность,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70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2</xdr:row>
      <xdr:rowOff>142875</xdr:rowOff>
    </xdr:from>
    <xdr:ext cx="5629275" cy="34956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809625</xdr:colOff>
      <xdr:row>18</xdr:row>
      <xdr:rowOff>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933450</xdr:colOff>
      <xdr:row>33</xdr:row>
      <xdr:rowOff>142875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3:C18" displayName="Таблица2" name="Таблица2" id="1">
  <tableColumns count="3">
    <tableColumn name="количетсво ядер" id="1"/>
    <tableColumn name="последовательная программа, сек." id="2"/>
    <tableColumn name="параллельная программа, сек." id="3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22:C27" displayName="Таблица3" name="Таблица3" id="2">
  <tableColumns count="3">
    <tableColumn name="количетсво ядер" id="1"/>
    <tableColumn name="последовательная программа" id="2"/>
    <tableColumn name="параллельная программа" id="3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ref="A30:C35" displayName="Таблица1" name="Таблица1" id="3">
  <tableColumns count="3">
    <tableColumn name="количетсво ядер" id="1"/>
    <tableColumn name="последовательная программа, %" id="2"/>
    <tableColumn name="параллельная программа, %" id="3"/>
  </tableColumns>
  <tableStyleInfo name="Лист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3.25"/>
    <col customWidth="1" min="3" max="3" width="29.63"/>
  </cols>
  <sheetData>
    <row r="2">
      <c r="A2" s="1" t="s">
        <v>0</v>
      </c>
    </row>
    <row r="11">
      <c r="A11" s="1"/>
    </row>
    <row r="13">
      <c r="A13" s="2" t="s">
        <v>1</v>
      </c>
      <c r="B13" s="3" t="s">
        <v>2</v>
      </c>
      <c r="C13" s="4" t="s">
        <v>3</v>
      </c>
    </row>
    <row r="14">
      <c r="A14" s="5">
        <v>2.0</v>
      </c>
      <c r="B14" s="6">
        <v>90.9595</v>
      </c>
      <c r="C14" s="7">
        <v>44.9744</v>
      </c>
    </row>
    <row r="15">
      <c r="A15" s="8">
        <v>4.0</v>
      </c>
      <c r="B15" s="9">
        <v>90.9595</v>
      </c>
      <c r="C15" s="10">
        <v>22.9677</v>
      </c>
    </row>
    <row r="16">
      <c r="A16" s="5">
        <v>8.0</v>
      </c>
      <c r="B16" s="6">
        <v>90.9595</v>
      </c>
      <c r="C16" s="7">
        <v>11.9489</v>
      </c>
    </row>
    <row r="17">
      <c r="A17" s="8">
        <v>16.0</v>
      </c>
      <c r="B17" s="9">
        <v>90.9595</v>
      </c>
      <c r="C17" s="10">
        <v>16.4229</v>
      </c>
    </row>
    <row r="18">
      <c r="A18" s="11">
        <v>24.0</v>
      </c>
      <c r="B18" s="12">
        <v>90.9595</v>
      </c>
      <c r="C18" s="13">
        <v>6.78561</v>
      </c>
    </row>
    <row r="20">
      <c r="A20" s="1" t="s">
        <v>4</v>
      </c>
    </row>
    <row r="22">
      <c r="A22" s="2" t="s">
        <v>1</v>
      </c>
      <c r="B22" s="3" t="s">
        <v>5</v>
      </c>
      <c r="C22" s="4" t="s">
        <v>6</v>
      </c>
    </row>
    <row r="23">
      <c r="A23" s="5">
        <v>2.0</v>
      </c>
      <c r="B23" s="6">
        <v>1.0</v>
      </c>
      <c r="C23" s="7">
        <f t="shared" ref="C23:C27" si="1">B14/C14</f>
        <v>2.022472785</v>
      </c>
    </row>
    <row r="24">
      <c r="A24" s="8">
        <v>4.0</v>
      </c>
      <c r="B24" s="9">
        <v>1.0</v>
      </c>
      <c r="C24" s="10">
        <f t="shared" si="1"/>
        <v>3.96032254</v>
      </c>
    </row>
    <row r="25">
      <c r="A25" s="5">
        <v>8.0</v>
      </c>
      <c r="B25" s="6">
        <v>1.0</v>
      </c>
      <c r="C25" s="7">
        <f t="shared" si="1"/>
        <v>7.612374361</v>
      </c>
    </row>
    <row r="26">
      <c r="A26" s="8">
        <v>16.0</v>
      </c>
      <c r="B26" s="9">
        <v>1.0</v>
      </c>
      <c r="C26" s="10">
        <f t="shared" si="1"/>
        <v>5.538577231</v>
      </c>
    </row>
    <row r="27">
      <c r="A27" s="11">
        <v>24.0</v>
      </c>
      <c r="B27" s="12">
        <v>1.0</v>
      </c>
      <c r="C27" s="13">
        <f t="shared" si="1"/>
        <v>13.4047639</v>
      </c>
    </row>
    <row r="29">
      <c r="B29" s="1" t="s">
        <v>7</v>
      </c>
    </row>
    <row r="30">
      <c r="A30" s="2" t="s">
        <v>1</v>
      </c>
      <c r="B30" s="3" t="s">
        <v>8</v>
      </c>
      <c r="C30" s="4" t="s">
        <v>9</v>
      </c>
    </row>
    <row r="31">
      <c r="A31" s="5">
        <v>2.0</v>
      </c>
      <c r="B31" s="6">
        <f t="shared" ref="B31:B35" si="2">B23*100</f>
        <v>100</v>
      </c>
      <c r="C31" s="7">
        <f t="shared" ref="C31:C35" si="3">C23/$A31*100</f>
        <v>101.1236392</v>
      </c>
    </row>
    <row r="32">
      <c r="A32" s="8">
        <v>4.0</v>
      </c>
      <c r="B32" s="9">
        <f t="shared" si="2"/>
        <v>100</v>
      </c>
      <c r="C32" s="10">
        <f t="shared" si="3"/>
        <v>99.0080635</v>
      </c>
    </row>
    <row r="33">
      <c r="A33" s="5">
        <v>8.0</v>
      </c>
      <c r="B33" s="6">
        <f t="shared" si="2"/>
        <v>100</v>
      </c>
      <c r="C33" s="7">
        <f t="shared" si="3"/>
        <v>95.15467951</v>
      </c>
    </row>
    <row r="34">
      <c r="A34" s="8">
        <v>16.0</v>
      </c>
      <c r="B34" s="9">
        <f t="shared" si="2"/>
        <v>100</v>
      </c>
      <c r="C34" s="10">
        <f t="shared" si="3"/>
        <v>34.61610769</v>
      </c>
    </row>
    <row r="35">
      <c r="A35" s="11">
        <v>24.0</v>
      </c>
      <c r="B35" s="12">
        <f t="shared" si="2"/>
        <v>100</v>
      </c>
      <c r="C35" s="13">
        <f t="shared" si="3"/>
        <v>55.85318294</v>
      </c>
    </row>
  </sheetData>
  <drawing r:id="rId1"/>
  <tableParts count="3">
    <tablePart r:id="rId5"/>
    <tablePart r:id="rId6"/>
    <tablePart r:id="rId7"/>
  </tableParts>
</worksheet>
</file>