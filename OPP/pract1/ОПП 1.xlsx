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<sst xmlns="http://schemas.openxmlformats.org/spreadsheetml/2006/main" count="15" uniqueCount="7">
  <si>
    <t>ВРЕМЯ</t>
  </si>
  <si>
    <t>Количество процессов</t>
  </si>
  <si>
    <t xml:space="preserve">последовательная </t>
  </si>
  <si>
    <t>точка-точка</t>
  </si>
  <si>
    <t>коллективные коммуникации</t>
  </si>
  <si>
    <t>УСКОРЕНИЕ</t>
  </si>
  <si>
    <t>ЭФФЕКТИВНОСТЬ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</si>
</sst>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4" xfId="0" applyAlignment="1" applyBorder="1" applyFont="1" applyNumberFormat="1">
      <alignment readingOrder="0" shrinkToFit="0" vertical="center" wrapText="0"/>
    </xf>
    <xf borderId="6" fillId="0" fontId="1" numFmtId="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4" xfId="0" applyAlignment="1" applyBorder="1" applyFont="1" applyNumberFormat="1">
      <alignment readingOrder="0" shrinkToFit="0" vertical="center" wrapText="0"/>
    </xf>
    <xf borderId="9" fillId="0" fontId="1" numFmtId="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4" xfId="0" applyAlignment="1" applyBorder="1" applyFont="1" applyNumberFormat="1">
      <alignment readingOrder="0" shrinkToFit="0" vertical="center" wrapText="0"/>
    </xf>
    <xf borderId="12" fillId="0" fontId="1" numFmtId="4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Лист1-style">
      <tableStyleElement dxfId="1" type="headerRow"/>
      <tableStyleElement dxfId="2" type="firstRowStripe"/>
      <tableStyleElement dxfId="3" type="secondRowStripe"/>
    </tableStyle>
    <tableStyle count="3" pivot="0" name="Лист1-style 2">
      <tableStyleElement dxfId="1" type="headerRow"/>
      <tableStyleElement dxfId="2" type="firstRowStripe"/>
      <tableStyleElement dxfId="3" type="secondRowStripe"/>
    </tableStyle>
    <tableStyle count="3" pivot="0" name="Лист1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График зависимости времени работы программ от количества процессов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'Лист1'!$B$3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'Лист1'!$A$4:$A$8</c:f>
            </c:strRef>
          </c:cat>
          <c:val>
            <c:numRef>
              <c:f>'Лист1'!$B$4:$B$8</c:f>
              <c:numCache/>
            </c:numRef>
          </c:val>
          <c:smooth val="0"/>
        </c:ser>
        <c:ser>
          <c:idx val="1"/>
          <c:order val="1"/>
          <c:tx>
            <c:strRef>
              <c:f>'Лист1'!$C$3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'Лист1'!$A$4:$A$8</c:f>
            </c:strRef>
          </c:cat>
          <c:val>
            <c:numRef>
              <c:f>'Лист1'!$C$4:$C$8</c:f>
              <c:numCache/>
            </c:numRef>
          </c:val>
          <c:smooth val="0"/>
        </c:ser>
        <c:ser>
          <c:idx val="2"/>
          <c:order val="2"/>
          <c:tx>
            <c:strRef>
              <c:f>'Лист1'!$D$3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'Лист1'!$A$4:$A$8</c:f>
            </c:strRef>
          </c:cat>
          <c:val>
            <c:numRef>
              <c:f>'Лист1'!$D$4:$D$8</c:f>
              <c:numCache/>
            </c:numRef>
          </c:val>
          <c:smooth val="0"/>
        </c:ser>
        <c:axId val="47897235"/>
        <c:axId val="1862425380"/>
      </c:lineChart>
      <c:catAx>
        <c:axId val="47897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Количество процессов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2425380"/>
      </c:catAx>
      <c:valAx>
        <c:axId val="1862425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Время, сек.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972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График зависимости ускорения программ от количества процессов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'Лист1'!$B$12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'Лист1'!$A$13:$A$17</c:f>
            </c:strRef>
          </c:cat>
          <c:val>
            <c:numRef>
              <c:f>'Лист1'!$B$13:$B$17</c:f>
              <c:numCache/>
            </c:numRef>
          </c:val>
          <c:smooth val="0"/>
        </c:ser>
        <c:ser>
          <c:idx val="1"/>
          <c:order val="1"/>
          <c:tx>
            <c:strRef>
              <c:f>'Лист1'!$C$12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'Лист1'!$A$13:$A$17</c:f>
            </c:strRef>
          </c:cat>
          <c:val>
            <c:numRef>
              <c:f>'Лист1'!$C$13:$C$17</c:f>
              <c:numCache/>
            </c:numRef>
          </c:val>
          <c:smooth val="0"/>
        </c:ser>
        <c:ser>
          <c:idx val="2"/>
          <c:order val="2"/>
          <c:tx>
            <c:strRef>
              <c:f>'Лист1'!$D$12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'Лист1'!$A$13:$A$17</c:f>
            </c:strRef>
          </c:cat>
          <c:val>
            <c:numRef>
              <c:f>'Лист1'!$D$13:$D$17</c:f>
              <c:numCache/>
            </c:numRef>
          </c:val>
          <c:smooth val="0"/>
        </c:ser>
        <c:axId val="161352116"/>
        <c:axId val="1874621900"/>
      </c:lineChart>
      <c:catAx>
        <c:axId val="1613521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Количество процессов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4621900"/>
      </c:catAx>
      <c:valAx>
        <c:axId val="1874621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ускорение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352116"/>
        <c:majorUnit val="2.0"/>
        <c:min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График зависимости эффективности программ от количества процессов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'Лист1'!$B$21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'Лист1'!$A$22:$A$26</c:f>
            </c:strRef>
          </c:cat>
          <c:val>
            <c:numRef>
              <c:f>'Лист1'!$B$22:$B$26</c:f>
              <c:numCache/>
            </c:numRef>
          </c:val>
          <c:smooth val="0"/>
        </c:ser>
        <c:ser>
          <c:idx val="1"/>
          <c:order val="1"/>
          <c:tx>
            <c:strRef>
              <c:f>'Лист1'!$C$21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'Лист1'!$A$22:$A$26</c:f>
            </c:strRef>
          </c:cat>
          <c:val>
            <c:numRef>
              <c:f>'Лист1'!$C$22:$C$26</c:f>
              <c:numCache/>
            </c:numRef>
          </c:val>
          <c:smooth val="0"/>
        </c:ser>
        <c:ser>
          <c:idx val="2"/>
          <c:order val="2"/>
          <c:tx>
            <c:strRef>
              <c:f>'Лист1'!$D$21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'Лист1'!$A$22:$A$26</c:f>
            </c:strRef>
          </c:cat>
          <c:val>
            <c:numRef>
              <c:f>'Лист1'!$D$22:$D$26</c:f>
              <c:numCache/>
            </c:numRef>
          </c:val>
          <c:smooth val="0"/>
        </c:ser>
        <c:axId val="556201868"/>
        <c:axId val="887566207"/>
      </c:lineChart>
      <c:catAx>
        <c:axId val="556201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Количество процессов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7566207"/>
      </c:catAx>
      <c:valAx>
        <c:axId val="8875662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эффективность,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2018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400050</xdr:colOff>
      <xdr:row>2</xdr:row>
      <xdr:rowOff>66675</xdr:rowOff>
    </xdr:from>
    <xdr:ext cx="6124575" cy="37909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352425</xdr:colOff>
      <xdr:row>16</xdr:row>
      <xdr:rowOff>238125</xdr:rowOff>
    </xdr:from>
    <xdr:ext cx="6124575" cy="379095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419100</xdr:colOff>
      <xdr:row>26</xdr:row>
      <xdr:rowOff>142875</xdr:rowOff>
    </xdr:from>
    <xdr:ext cx="6067425" cy="37528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3:D8" displayName="Таблица1" name="Таблица1" id="1">
  <tableColumns count="4">
    <tableColumn name="Количество процессов" id="1"/>
    <tableColumn name="последовательная " id="2"/>
    <tableColumn name="точка-точка" id="3"/>
    <tableColumn name="коллективные коммуникации" id="4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ref="A12:D17" displayName="Таблица2" name="Таблица2" id="2">
  <tableColumns count="4">
    <tableColumn name="Количество процессов" id="1"/>
    <tableColumn name="последовательная " id="2"/>
    <tableColumn name="точка-точка" id="3"/>
    <tableColumn name="коллективные коммуникации" id="4"/>
  </tableColumns>
  <tableStyleInfo name="Лист1-style 2" showColumnStripes="0" showFirstColumn="1" showLastColumn="1" showRowStripes="1"/>
</table>
</file>

<file path=xl/tables/table3.xml><?xml version="1.0" encoding="utf-8"?>
<table xmlns="http://schemas.openxmlformats.org/spreadsheetml/2006/main" ref="A21:D26" displayName="Таблица3" name="Таблица3" id="3">
  <tableColumns count="4">
    <tableColumn name="Количество процессов" id="1"/>
    <tableColumn name="последовательная " id="2"/>
    <tableColumn name="точка-точка" id="3"/>
    <tableColumn name="коллективные коммуникации" id="4"/>
  </tableColumns>
  <tableStyleInfo name="Лист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3.88"/>
    <col customWidth="1" min="3" max="3" width="18.13"/>
    <col customWidth="1" min="4" max="4" width="32.25"/>
    <col customWidth="1" min="5" max="5" width="11.25"/>
    <col customWidth="1" min="6" max="6" width="13.63"/>
  </cols>
  <sheetData>
    <row r="1">
      <c r="A1" s="1" t="s">
        <v>0</v>
      </c>
      <c r="B1" s="1"/>
      <c r="C1" s="1"/>
      <c r="D1" s="1"/>
    </row>
    <row r="2">
      <c r="A2" s="1"/>
      <c r="B2" s="1"/>
      <c r="C2" s="1"/>
      <c r="D2" s="1"/>
    </row>
    <row r="3">
      <c r="A3" s="2" t="s">
        <v>1</v>
      </c>
      <c r="B3" s="3" t="s">
        <v>2</v>
      </c>
      <c r="C3" s="3" t="s">
        <v>3</v>
      </c>
      <c r="D3" s="4" t="s">
        <v>4</v>
      </c>
    </row>
    <row r="4">
      <c r="A4" s="5">
        <v>2.0</v>
      </c>
      <c r="B4" s="6">
        <v>34.883368</v>
      </c>
      <c r="C4" s="6">
        <v>21.17947</v>
      </c>
      <c r="D4" s="7">
        <v>21.049465</v>
      </c>
    </row>
    <row r="5">
      <c r="A5" s="8">
        <v>4.0</v>
      </c>
      <c r="B5" s="9">
        <v>34.883368</v>
      </c>
      <c r="C5" s="9">
        <v>10.683269</v>
      </c>
      <c r="D5" s="10">
        <v>10.688364</v>
      </c>
    </row>
    <row r="6">
      <c r="A6" s="5">
        <v>8.0</v>
      </c>
      <c r="B6" s="6">
        <v>34.883368</v>
      </c>
      <c r="C6" s="6">
        <v>5.350206</v>
      </c>
      <c r="D6" s="7">
        <v>5.544165</v>
      </c>
    </row>
    <row r="7">
      <c r="A7" s="8">
        <v>16.0</v>
      </c>
      <c r="B7" s="9">
        <v>34.883368</v>
      </c>
      <c r="C7" s="9">
        <v>4.389605</v>
      </c>
      <c r="D7" s="10">
        <v>4.398708</v>
      </c>
    </row>
    <row r="8">
      <c r="A8" s="11">
        <v>24.0</v>
      </c>
      <c r="B8" s="12">
        <v>34.883368</v>
      </c>
      <c r="C8" s="12">
        <v>3.592489</v>
      </c>
      <c r="D8" s="13">
        <v>3.692455</v>
      </c>
    </row>
    <row r="10">
      <c r="A10" s="1" t="s">
        <v>5</v>
      </c>
    </row>
    <row r="11">
      <c r="A11" s="1"/>
      <c r="B11" s="1"/>
      <c r="C11" s="1"/>
      <c r="D11" s="1"/>
    </row>
    <row r="12">
      <c r="A12" s="2" t="s">
        <v>1</v>
      </c>
      <c r="B12" s="3" t="s">
        <v>2</v>
      </c>
      <c r="C12" s="3" t="s">
        <v>3</v>
      </c>
      <c r="D12" s="4" t="s">
        <v>4</v>
      </c>
    </row>
    <row r="13">
      <c r="A13" s="5">
        <v>2.0</v>
      </c>
      <c r="B13" s="6">
        <f t="shared" ref="B13:D13" si="1">$B$4/B4</f>
        <v>1</v>
      </c>
      <c r="C13" s="6">
        <f t="shared" si="1"/>
        <v>1.647036871</v>
      </c>
      <c r="D13" s="7">
        <f t="shared" si="1"/>
        <v>1.657209245</v>
      </c>
    </row>
    <row r="14">
      <c r="A14" s="8">
        <v>4.0</v>
      </c>
      <c r="B14" s="9">
        <f t="shared" ref="B14:D14" si="2">$B$4/B5</f>
        <v>1</v>
      </c>
      <c r="C14" s="9">
        <f t="shared" si="2"/>
        <v>3.265233516</v>
      </c>
      <c r="D14" s="10">
        <f t="shared" si="2"/>
        <v>3.263677023</v>
      </c>
    </row>
    <row r="15">
      <c r="A15" s="5">
        <v>8.0</v>
      </c>
      <c r="B15" s="6">
        <f t="shared" ref="B15:D15" si="3">$B$4/B6</f>
        <v>1</v>
      </c>
      <c r="C15" s="6">
        <f t="shared" si="3"/>
        <v>6.52000465</v>
      </c>
      <c r="D15" s="7">
        <f t="shared" si="3"/>
        <v>6.291906536</v>
      </c>
    </row>
    <row r="16">
      <c r="A16" s="8">
        <v>16.0</v>
      </c>
      <c r="B16" s="9">
        <f t="shared" ref="B16:D16" si="4">$B$4/B7</f>
        <v>1</v>
      </c>
      <c r="C16" s="9">
        <f t="shared" si="4"/>
        <v>7.946812526</v>
      </c>
      <c r="D16" s="10">
        <f t="shared" si="4"/>
        <v>7.930366826</v>
      </c>
    </row>
    <row r="17">
      <c r="A17" s="11">
        <v>24.0</v>
      </c>
      <c r="B17" s="12">
        <f t="shared" ref="B17:D17" si="5">$B$4/B8</f>
        <v>1</v>
      </c>
      <c r="C17" s="12">
        <f t="shared" si="5"/>
        <v>9.710083455</v>
      </c>
      <c r="D17" s="13">
        <f t="shared" si="5"/>
        <v>9.447201929</v>
      </c>
    </row>
    <row r="19">
      <c r="A19" s="1" t="s">
        <v>6</v>
      </c>
    </row>
    <row r="20">
      <c r="A20" s="1"/>
      <c r="B20" s="1"/>
      <c r="C20" s="1"/>
      <c r="D20" s="1"/>
    </row>
    <row r="21">
      <c r="A21" s="2" t="s">
        <v>1</v>
      </c>
      <c r="B21" s="3" t="s">
        <v>2</v>
      </c>
      <c r="C21" s="3" t="s">
        <v>3</v>
      </c>
      <c r="D21" s="4" t="s">
        <v>4</v>
      </c>
    </row>
    <row r="22">
      <c r="A22" s="5">
        <v>2.0</v>
      </c>
      <c r="B22" s="6">
        <f t="shared" ref="B22:D22" si="6">B13 *100/A22</f>
        <v>50</v>
      </c>
      <c r="C22" s="6">
        <f t="shared" si="6"/>
        <v>3.294073742</v>
      </c>
      <c r="D22" s="7">
        <f t="shared" si="6"/>
        <v>50.30880832</v>
      </c>
    </row>
    <row r="23">
      <c r="A23" s="8">
        <v>4.0</v>
      </c>
      <c r="B23" s="9">
        <f t="shared" ref="B23:D23" si="7">B14 *100/A23</f>
        <v>25</v>
      </c>
      <c r="C23" s="9">
        <f t="shared" si="7"/>
        <v>13.06093406</v>
      </c>
      <c r="D23" s="10">
        <f t="shared" si="7"/>
        <v>24.98808283</v>
      </c>
    </row>
    <row r="24">
      <c r="A24" s="5">
        <v>8.0</v>
      </c>
      <c r="B24" s="6">
        <f t="shared" ref="B24:D24" si="8">B15 *100/A24</f>
        <v>12.5</v>
      </c>
      <c r="C24" s="6">
        <f t="shared" si="8"/>
        <v>52.1600372</v>
      </c>
      <c r="D24" s="7">
        <f t="shared" si="8"/>
        <v>12.06269564</v>
      </c>
    </row>
    <row r="25">
      <c r="A25" s="8">
        <v>16.0</v>
      </c>
      <c r="B25" s="9">
        <f t="shared" ref="B25:D25" si="9">B16 *100/A25</f>
        <v>6.25</v>
      </c>
      <c r="C25" s="9">
        <f t="shared" si="9"/>
        <v>127.1490004</v>
      </c>
      <c r="D25" s="10">
        <f t="shared" si="9"/>
        <v>6.237065804</v>
      </c>
    </row>
    <row r="26">
      <c r="A26" s="11">
        <v>24.0</v>
      </c>
      <c r="B26" s="12">
        <f t="shared" ref="B26:D26" si="10">B17 *100/A26</f>
        <v>4.166666667</v>
      </c>
      <c r="C26" s="12">
        <f t="shared" si="10"/>
        <v>233.0420029</v>
      </c>
      <c r="D26" s="13">
        <f t="shared" si="10"/>
        <v>4.053862313</v>
      </c>
    </row>
  </sheetData>
  <dataValidations>
    <dataValidation type="custom" allowBlank="1" showDropDown="1" sqref="B4:D8 B13:D17 B22:D26">
      <formula1>AND(ISNUMBER(B4),(NOT(OR(NOT(ISERROR(DATEVALUE(B4))), AND(ISNUMBER(B4), LEFT(CELL("format", B4))="D")))))</formula1>
    </dataValidation>
  </dataValidations>
  <drawing r:id="rId1"/>
  <tableParts count="3">
    <tablePart r:id="rId5"/>
    <tablePart r:id="rId6"/>
    <tablePart r:id="rId7"/>
  </tableParts>
</worksheet>
</file>